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hân viên" sheetId="1" r:id="rId1"/>
    <sheet name="Phòng ba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workbookViewId="0"/>
  </sheetViews>
  <cols>
    <col min="1" max="1" width="8.83203125" customWidth="1"/>
    <col min="2" max="2" width="19.83203125" customWidth="1"/>
    <col min="3" max="3" width="11.83203125" customWidth="1"/>
    <col min="4" max="4" width="12.83203125" customWidth="1"/>
    <col min="5" max="5" width="12.83203125" customWidth="1"/>
    <col min="6" max="6" width="17.83203125" customWidth="1"/>
    <col min="7" max="7" width="14.83203125" customWidth="1"/>
    <col min="8" max="8" width="14.83203125" customWidth="1"/>
    <col min="9" max="9" width="14.83203125" customWidth="1"/>
    <col min="10" max="10" width="12.83203125" customWidth="1"/>
    <col min="11" max="11" width="30.83203125" customWidth="1"/>
  </cols>
  <sheetData>
    <row r="1">
      <c r="A1" t="str">
        <v>Mã NV</v>
      </c>
      <c r="B1" t="str">
        <v>Họ và tên</v>
      </c>
      <c r="C1" t="str">
        <v>Giới tính</v>
      </c>
      <c r="D1" t="str">
        <v>Ngày sinh</v>
      </c>
      <c r="E1" t="str">
        <v>Phòng ban</v>
      </c>
      <c r="F1" t="str">
        <v>Chi nhánh</v>
      </c>
      <c r="G1" t="str">
        <v>Chức vụ</v>
      </c>
      <c r="H1" t="str">
        <v>Ngày vào làm</v>
      </c>
      <c r="I1" t="str">
        <v>Lương cơ bản</v>
      </c>
      <c r="J1" t="str">
        <v>Điện thoại</v>
      </c>
      <c r="K1" t="str">
        <v>Email</v>
      </c>
    </row>
    <row r="2">
      <c r="A2" t="str">
        <v>NV001</v>
      </c>
      <c r="B2" t="str">
        <v>Ngô Văn Hùng</v>
      </c>
      <c r="C2" t="str">
        <v>Nam</v>
      </c>
      <c r="D2" s="1">
        <v>31664</v>
      </c>
      <c r="E2" t="str">
        <v>Kế toán</v>
      </c>
      <c r="F2" t="str">
        <v>TP. Hồ Chí Minh</v>
      </c>
      <c r="G2" t="str">
        <v>Trưởng phòng</v>
      </c>
      <c r="H2" s="1">
        <v>42293</v>
      </c>
      <c r="I2" s="2">
        <v>26100000</v>
      </c>
      <c r="J2" t="str">
        <v>0992415440</v>
      </c>
      <c r="K2" t="str">
        <v>hung.ngo1@congty-mau.vn</v>
      </c>
    </row>
    <row r="3">
      <c r="A3" t="str">
        <v>NV002</v>
      </c>
      <c r="B3" t="str">
        <v>Hoàng Thị Anh</v>
      </c>
      <c r="C3" t="str">
        <v>Nữ</v>
      </c>
      <c r="D3" s="1">
        <v>31966</v>
      </c>
      <c r="E3" t="str">
        <v>Kinh doanh</v>
      </c>
      <c r="F3" t="str">
        <v>TP. Hồ Chí Minh</v>
      </c>
      <c r="G3" t="str">
        <v>Trưởng phòng</v>
      </c>
      <c r="H3" s="1">
        <v>43446</v>
      </c>
      <c r="I3" s="2">
        <v>33800000</v>
      </c>
      <c r="J3" t="str">
        <v>0934709906</v>
      </c>
      <c r="K3" t="str">
        <v>anh.hoang2@congty-mau.vn</v>
      </c>
    </row>
    <row r="4">
      <c r="A4" t="str">
        <v>NV003</v>
      </c>
      <c r="B4" t="str">
        <v>Hoàng Thành Cường</v>
      </c>
      <c r="C4" t="str">
        <v>Nam</v>
      </c>
      <c r="D4" s="1">
        <v>35814</v>
      </c>
      <c r="E4" t="str">
        <v>Kỹ thuật</v>
      </c>
      <c r="F4" t="str">
        <v>Đà Nẵng</v>
      </c>
      <c r="G4" t="str">
        <v>Trưởng phòng</v>
      </c>
      <c r="H4" s="1">
        <v>45715</v>
      </c>
      <c r="I4" s="2">
        <v>34300000</v>
      </c>
      <c r="J4" t="str">
        <v>0980730855</v>
      </c>
      <c r="K4" t="str">
        <v>cuong.hoang3@congty-mau.vn</v>
      </c>
    </row>
    <row r="5">
      <c r="A5" t="str">
        <v>NV004</v>
      </c>
      <c r="B5" t="str">
        <v>Đỗ Ngọc Châu</v>
      </c>
      <c r="C5" t="str">
        <v>Nữ</v>
      </c>
      <c r="D5" s="1">
        <v>35743</v>
      </c>
      <c r="E5" t="str">
        <v>Nhân sự</v>
      </c>
      <c r="F5" t="str">
        <v>Cần Thơ</v>
      </c>
      <c r="G5" t="str">
        <v>Trưởng phòng</v>
      </c>
      <c r="H5" s="1">
        <v>42879</v>
      </c>
      <c r="I5" s="2">
        <v>25300000</v>
      </c>
      <c r="J5" t="str">
        <v>0954185771</v>
      </c>
      <c r="K5" t="str">
        <v>chau.do4@congty-mau.vn</v>
      </c>
    </row>
    <row r="6">
      <c r="A6" t="str">
        <v>NV005</v>
      </c>
      <c r="B6" t="str">
        <v>Hồ Mai Trang</v>
      </c>
      <c r="C6" t="str">
        <v>Nữ</v>
      </c>
      <c r="D6" s="1">
        <v>33124</v>
      </c>
      <c r="E6" t="str">
        <v>Marketing</v>
      </c>
      <c r="F6" t="str">
        <v>Cần Thơ</v>
      </c>
      <c r="G6" t="str">
        <v>Trưởng phòng</v>
      </c>
      <c r="H6" s="1">
        <v>44893</v>
      </c>
      <c r="I6" s="2">
        <v>36300000</v>
      </c>
      <c r="J6" t="str">
        <v>0972486281</v>
      </c>
      <c r="K6" t="str">
        <v>trang.ho5@congty-mau.vn</v>
      </c>
    </row>
    <row r="7">
      <c r="A7" t="str">
        <v>NV006</v>
      </c>
      <c r="B7" t="str">
        <v>Lê Thành Bình</v>
      </c>
      <c r="C7" t="str">
        <v>Nam</v>
      </c>
      <c r="D7" s="1">
        <v>30386</v>
      </c>
      <c r="E7" t="str">
        <v>Marketing</v>
      </c>
      <c r="F7" t="str">
        <v>Hà Nội</v>
      </c>
      <c r="G7" t="str">
        <v>Nhân viên</v>
      </c>
      <c r="H7" s="1">
        <v>45485</v>
      </c>
      <c r="I7" s="2">
        <v>9200000</v>
      </c>
      <c r="J7" t="str">
        <v>0992602562</v>
      </c>
      <c r="K7" t="str">
        <v>binh.le6@congty-mau.vn</v>
      </c>
    </row>
    <row r="8">
      <c r="A8" t="str">
        <v>NV007</v>
      </c>
      <c r="B8" t="str">
        <v>Đỗ Đức Dũng</v>
      </c>
      <c r="C8" t="str">
        <v>Nam</v>
      </c>
      <c r="D8" s="1">
        <v>36928</v>
      </c>
      <c r="E8" t="str">
        <v>Marketing</v>
      </c>
      <c r="F8" t="str">
        <v>Đà Nẵng</v>
      </c>
      <c r="G8" t="str">
        <v>Nhân viên</v>
      </c>
      <c r="H8" s="1">
        <v>42174</v>
      </c>
      <c r="I8" s="2">
        <v>11800000</v>
      </c>
      <c r="J8" t="str">
        <v>0907731819</v>
      </c>
      <c r="K8" t="str">
        <v>dung.do7@congty-mau.vn</v>
      </c>
    </row>
    <row r="9">
      <c r="A9" t="str">
        <v>NV008</v>
      </c>
      <c r="B9" t="str">
        <v>Hồ Thu Oanh</v>
      </c>
      <c r="C9" t="str">
        <v>Nữ</v>
      </c>
      <c r="D9" s="1">
        <v>30612</v>
      </c>
      <c r="E9" t="str">
        <v>Kỹ thuật</v>
      </c>
      <c r="F9" t="str">
        <v>Hà Nội</v>
      </c>
      <c r="G9" t="str">
        <v>Chuyên viên</v>
      </c>
      <c r="H9" s="1">
        <v>45623</v>
      </c>
      <c r="I9" s="2">
        <v>17600000</v>
      </c>
      <c r="J9" t="str">
        <v>0977846634</v>
      </c>
      <c r="K9" t="str">
        <v>oanh.ho8@congty-mau.vn</v>
      </c>
    </row>
    <row r="10">
      <c r="A10" t="str">
        <v>NV009</v>
      </c>
      <c r="B10" t="str">
        <v>Đỗ Thu Châu</v>
      </c>
      <c r="C10" t="str">
        <v>Nữ</v>
      </c>
      <c r="D10" s="1">
        <v>36347</v>
      </c>
      <c r="E10" t="str">
        <v>Kinh doanh</v>
      </c>
      <c r="F10" t="str">
        <v>TP. Hồ Chí Minh</v>
      </c>
      <c r="G10" t="str">
        <v>Trưởng nhóm</v>
      </c>
      <c r="H10" s="1">
        <v>44495</v>
      </c>
      <c r="I10" s="2">
        <v>19900000</v>
      </c>
      <c r="J10" t="str">
        <v>0955693066</v>
      </c>
      <c r="K10" t="str">
        <v>chau.do9@congty-mau.vn</v>
      </c>
    </row>
    <row r="11">
      <c r="A11" t="str">
        <v>NV010</v>
      </c>
      <c r="B11" t="str">
        <v>Võ Bảo Lan</v>
      </c>
      <c r="C11" t="str">
        <v>Nữ</v>
      </c>
      <c r="D11" s="1">
        <v>30583</v>
      </c>
      <c r="E11" t="str">
        <v>Kỹ thuật</v>
      </c>
      <c r="F11" t="str">
        <v>TP. Hồ Chí Minh</v>
      </c>
      <c r="G11" t="str">
        <v>Nhân viên</v>
      </c>
      <c r="H11" s="1">
        <v>43836</v>
      </c>
      <c r="I11" s="2">
        <v>11800000</v>
      </c>
      <c r="J11" t="str">
        <v>0917701226</v>
      </c>
      <c r="K11" t="str">
        <v>lan.vo10@congty-mau.vn</v>
      </c>
    </row>
    <row r="12">
      <c r="A12" t="str">
        <v>NV011</v>
      </c>
      <c r="B12" t="str">
        <v>Hồ Minh Bình</v>
      </c>
      <c r="C12" t="str">
        <v>Nam</v>
      </c>
      <c r="D12" s="1">
        <v>36673</v>
      </c>
      <c r="E12" t="str">
        <v>Kinh doanh</v>
      </c>
      <c r="F12" t="str">
        <v>TP. Hồ Chí Minh</v>
      </c>
      <c r="G12" t="str">
        <v>Nhân viên</v>
      </c>
      <c r="H12" s="1">
        <v>43237</v>
      </c>
      <c r="I12" s="2">
        <v>9300000</v>
      </c>
      <c r="J12" t="str">
        <v>0924596214</v>
      </c>
      <c r="K12" t="str">
        <v>binh.ho11@congty-mau.vn</v>
      </c>
    </row>
    <row r="13">
      <c r="A13" t="str">
        <v>NV012</v>
      </c>
      <c r="B13" t="str">
        <v>Đỗ Thu Oanh</v>
      </c>
      <c r="C13" t="str">
        <v>Nữ</v>
      </c>
      <c r="D13" s="1">
        <v>31106</v>
      </c>
      <c r="E13" t="str">
        <v>Kinh doanh</v>
      </c>
      <c r="F13" t="str">
        <v>Đà Nẵng</v>
      </c>
      <c r="G13" t="str">
        <v>Trưởng nhóm</v>
      </c>
      <c r="H13" s="1">
        <v>43607</v>
      </c>
      <c r="I13" s="2">
        <v>20800000</v>
      </c>
      <c r="J13" t="str">
        <v>0934325623</v>
      </c>
      <c r="K13" t="str">
        <v>oanh.do12@congty-mau.vn</v>
      </c>
    </row>
    <row r="14">
      <c r="A14" t="str">
        <v>NV013</v>
      </c>
      <c r="B14" t="str">
        <v>Bùi Mai Châu</v>
      </c>
      <c r="C14" t="str">
        <v>Nữ</v>
      </c>
      <c r="D14" s="1">
        <v>34237</v>
      </c>
      <c r="E14" t="str">
        <v>Nhân sự</v>
      </c>
      <c r="F14" t="str">
        <v>TP. Hồ Chí Minh</v>
      </c>
      <c r="G14" t="str">
        <v>Trưởng nhóm</v>
      </c>
      <c r="H14" s="1">
        <v>44972</v>
      </c>
      <c r="I14" s="2">
        <v>23200000</v>
      </c>
      <c r="J14" t="str">
        <v>0995287752</v>
      </c>
      <c r="K14" t="str">
        <v>chau.bui13@congty-mau.vn</v>
      </c>
    </row>
    <row r="15">
      <c r="A15" t="str">
        <v>NV014</v>
      </c>
      <c r="B15" t="str">
        <v>Phạm Đức Dũng</v>
      </c>
      <c r="C15" t="str">
        <v>Nam</v>
      </c>
      <c r="D15" s="1">
        <v>34618</v>
      </c>
      <c r="E15" t="str">
        <v>Marketing</v>
      </c>
      <c r="F15" t="str">
        <v>Cần Thơ</v>
      </c>
      <c r="G15" t="str">
        <v>Chuyên viên</v>
      </c>
      <c r="H15" s="1">
        <v>44511</v>
      </c>
      <c r="I15" s="2">
        <v>14400000</v>
      </c>
      <c r="J15" t="str">
        <v>0916891825</v>
      </c>
      <c r="K15" t="str">
        <v>dung.pham14@congty-mau.vn</v>
      </c>
    </row>
    <row r="16">
      <c r="A16" t="str">
        <v>NV015</v>
      </c>
      <c r="B16" t="str">
        <v>Trần Thị Anh</v>
      </c>
      <c r="C16" t="str">
        <v>Nữ</v>
      </c>
      <c r="D16" s="1">
        <v>29142</v>
      </c>
      <c r="E16" t="str">
        <v>Nhân sự</v>
      </c>
      <c r="F16" t="str">
        <v>Hà Nội</v>
      </c>
      <c r="G16" t="str">
        <v>Chuyên viên</v>
      </c>
      <c r="H16" s="1">
        <v>44830</v>
      </c>
      <c r="I16" s="2">
        <v>16500000</v>
      </c>
      <c r="J16" t="str">
        <v>0939447033</v>
      </c>
      <c r="K16" t="str">
        <v>anh.tran15@congty-mau.vn</v>
      </c>
    </row>
    <row r="17">
      <c r="A17" t="str">
        <v>NV016</v>
      </c>
      <c r="B17" t="str">
        <v>Đặng Mai Hà</v>
      </c>
      <c r="C17" t="str">
        <v>Nữ</v>
      </c>
      <c r="D17" s="1">
        <v>34615</v>
      </c>
      <c r="E17" t="str">
        <v>Marketing</v>
      </c>
      <c r="F17" t="str">
        <v>TP. Hồ Chí Minh</v>
      </c>
      <c r="G17" t="str">
        <v>Nhân viên</v>
      </c>
      <c r="H17" s="1">
        <v>42044</v>
      </c>
      <c r="I17" s="2">
        <v>9100000</v>
      </c>
      <c r="J17" t="str">
        <v>0910719680</v>
      </c>
      <c r="K17" t="str">
        <v>ha.dang16@congty-mau.vn</v>
      </c>
    </row>
    <row r="18">
      <c r="A18" t="str">
        <v>NV017</v>
      </c>
      <c r="B18" t="str">
        <v>Lê Đức Sơn</v>
      </c>
      <c r="C18" t="str">
        <v>Nam</v>
      </c>
      <c r="D18" s="1">
        <v>36586</v>
      </c>
      <c r="E18" t="str">
        <v>Kinh doanh</v>
      </c>
      <c r="F18" t="str">
        <v>TP. Hồ Chí Minh</v>
      </c>
      <c r="G18" t="str">
        <v>Chuyên viên</v>
      </c>
      <c r="H18" s="1">
        <v>45405</v>
      </c>
      <c r="I18" s="2">
        <v>16000000</v>
      </c>
      <c r="J18" t="str">
        <v>0907582473</v>
      </c>
      <c r="K18" t="str">
        <v>son.le17@congty-mau.vn</v>
      </c>
    </row>
    <row r="19">
      <c r="A19" t="str">
        <v>NV018</v>
      </c>
      <c r="B19" t="str">
        <v>Nguyễn Văn Cường</v>
      </c>
      <c r="C19" t="str">
        <v>Nam</v>
      </c>
      <c r="D19" s="1">
        <v>35592</v>
      </c>
      <c r="E19" t="str">
        <v>Kế toán</v>
      </c>
      <c r="F19" t="str">
        <v>TP. Hồ Chí Minh</v>
      </c>
      <c r="G19" t="str">
        <v>Nhân viên</v>
      </c>
      <c r="H19" s="1">
        <v>45885</v>
      </c>
      <c r="I19" s="2">
        <v>12500000</v>
      </c>
      <c r="J19" t="str">
        <v>0927664041</v>
      </c>
      <c r="K19" t="str">
        <v>cuong.nguyen18@congty-mau.vn</v>
      </c>
    </row>
    <row r="20">
      <c r="A20" t="str">
        <v>NV019</v>
      </c>
      <c r="B20" t="str">
        <v>Vũ Thành Quân</v>
      </c>
      <c r="C20" t="str">
        <v>Nam</v>
      </c>
      <c r="D20" s="1">
        <v>33196</v>
      </c>
      <c r="E20" t="str">
        <v>Kế toán</v>
      </c>
      <c r="F20" t="str">
        <v>Hà Nội</v>
      </c>
      <c r="G20" t="str">
        <v>Chuyên viên</v>
      </c>
      <c r="H20" s="1">
        <v>43489</v>
      </c>
      <c r="I20" s="2">
        <v>16500000</v>
      </c>
      <c r="J20" t="str">
        <v>0900643444</v>
      </c>
      <c r="K20" t="str">
        <v>quan.vu19@congty-mau.vn</v>
      </c>
    </row>
    <row r="21">
      <c r="A21" t="str">
        <v>NV020</v>
      </c>
      <c r="B21" t="str">
        <v>Hồ Mai Vy</v>
      </c>
      <c r="C21" t="str">
        <v>Nữ</v>
      </c>
      <c r="D21" s="1">
        <v>32440</v>
      </c>
      <c r="E21" t="str">
        <v>Kế toán</v>
      </c>
      <c r="F21" t="str">
        <v>Cần Thơ</v>
      </c>
      <c r="G21" t="str">
        <v>Trưởng nhóm</v>
      </c>
      <c r="H21" s="1">
        <v>43132</v>
      </c>
      <c r="I21" s="2">
        <v>22400000</v>
      </c>
      <c r="J21" t="str">
        <v>0917863303</v>
      </c>
      <c r="K21" t="str">
        <v>vy.ho20@congty-mau.vn</v>
      </c>
    </row>
    <row r="22">
      <c r="A22" t="str">
        <v>NV021</v>
      </c>
      <c r="B22" t="str">
        <v>Hồ Thanh Nhung</v>
      </c>
      <c r="C22" t="str">
        <v>Nữ</v>
      </c>
      <c r="D22" s="1">
        <v>27547</v>
      </c>
      <c r="E22" t="str">
        <v>Kỹ thuật</v>
      </c>
      <c r="F22" t="str">
        <v>Đà Nẵng</v>
      </c>
      <c r="G22" t="str">
        <v>Chuyên viên</v>
      </c>
      <c r="H22" s="1">
        <v>43276</v>
      </c>
      <c r="I22" s="2">
        <v>17300000</v>
      </c>
      <c r="J22" t="str">
        <v>0982725560</v>
      </c>
      <c r="K22" t="str">
        <v>nhung.ho21@congty-mau.vn</v>
      </c>
    </row>
    <row r="23">
      <c r="A23" t="str">
        <v>NV022</v>
      </c>
      <c r="B23" t="str">
        <v>Đỗ Thị Linh</v>
      </c>
      <c r="C23" t="str">
        <v>Nữ</v>
      </c>
      <c r="D23" s="1">
        <v>30816</v>
      </c>
      <c r="E23" t="str">
        <v>Nhân sự</v>
      </c>
      <c r="F23" t="str">
        <v>TP. Hồ Chí Minh</v>
      </c>
      <c r="G23" t="str">
        <v>Nhân viên</v>
      </c>
      <c r="H23" s="1">
        <v>43367</v>
      </c>
      <c r="I23" s="2">
        <v>11600000</v>
      </c>
      <c r="J23" t="str">
        <v>0959245610</v>
      </c>
      <c r="K23" t="str">
        <v>linh.do22@congty-mau.vn</v>
      </c>
    </row>
    <row r="24">
      <c r="A24" t="str">
        <v>NV023</v>
      </c>
      <c r="B24" t="str">
        <v>Vũ Hữu Quân</v>
      </c>
      <c r="C24" t="str">
        <v>Nam</v>
      </c>
      <c r="D24" s="1">
        <v>33532</v>
      </c>
      <c r="E24" t="str">
        <v>Marketing</v>
      </c>
      <c r="F24" t="str">
        <v>TP. Hồ Chí Minh</v>
      </c>
      <c r="G24" t="str">
        <v>Trưởng nhóm</v>
      </c>
      <c r="H24" s="1">
        <v>42573</v>
      </c>
      <c r="I24" s="2">
        <v>20200000</v>
      </c>
      <c r="J24" t="str">
        <v>0930411732</v>
      </c>
      <c r="K24" t="str">
        <v>quan.vu23@congty-mau.vn</v>
      </c>
    </row>
    <row r="25">
      <c r="A25" t="str">
        <v>NV024</v>
      </c>
      <c r="B25" t="str">
        <v>Huỳnh Bảo Hương</v>
      </c>
      <c r="C25" t="str">
        <v>Nữ</v>
      </c>
      <c r="D25" s="1">
        <v>32448</v>
      </c>
      <c r="E25" t="str">
        <v>Kỹ thuật</v>
      </c>
      <c r="F25" t="str">
        <v>TP. Hồ Chí Minh</v>
      </c>
      <c r="G25" t="str">
        <v>Chuyên viên</v>
      </c>
      <c r="H25" s="1">
        <v>44628</v>
      </c>
      <c r="I25" s="2">
        <v>18200000</v>
      </c>
      <c r="J25" t="str">
        <v>0907044577</v>
      </c>
      <c r="K25" t="str">
        <v>huong.huynh24@congty-mau.vn</v>
      </c>
    </row>
    <row r="26">
      <c r="A26" t="str">
        <v>NV025</v>
      </c>
      <c r="B26" t="str">
        <v>Ngô Hữu Hùng</v>
      </c>
      <c r="C26" t="str">
        <v>Nam</v>
      </c>
      <c r="D26" s="1">
        <v>36752</v>
      </c>
      <c r="E26" t="str">
        <v>Kinh doanh</v>
      </c>
      <c r="F26" t="str">
        <v>Cần Thơ</v>
      </c>
      <c r="G26" t="str">
        <v>Chuyên viên</v>
      </c>
      <c r="H26" s="1">
        <v>42180</v>
      </c>
      <c r="I26" s="2">
        <v>15100000</v>
      </c>
      <c r="J26" t="str">
        <v>0915809488</v>
      </c>
      <c r="K26" t="str">
        <v>hung.ngo25@congty-mau.vn</v>
      </c>
    </row>
    <row r="27">
      <c r="A27" t="str">
        <v>NV026</v>
      </c>
      <c r="B27" t="str">
        <v>Huỳnh Quốc Long</v>
      </c>
      <c r="C27" t="str">
        <v>Nam</v>
      </c>
      <c r="D27" s="1">
        <v>31565</v>
      </c>
      <c r="E27" t="str">
        <v>Kế toán</v>
      </c>
      <c r="F27" t="str">
        <v>TP. Hồ Chí Minh</v>
      </c>
      <c r="G27" t="str">
        <v>Nhân viên</v>
      </c>
      <c r="H27" s="1">
        <v>45355</v>
      </c>
      <c r="I27" s="2">
        <v>9700000</v>
      </c>
      <c r="J27" t="str">
        <v>0946384027</v>
      </c>
      <c r="K27" t="str">
        <v>long.huynh26@congty-mau.vn</v>
      </c>
    </row>
    <row r="28">
      <c r="A28" t="str">
        <v>NV027</v>
      </c>
      <c r="B28" t="str">
        <v>Ngô Minh Tuấn</v>
      </c>
      <c r="C28" t="str">
        <v>Nam</v>
      </c>
      <c r="D28" s="1">
        <v>31332</v>
      </c>
      <c r="E28" t="str">
        <v>Nhân sự</v>
      </c>
      <c r="F28" t="str">
        <v>TP. Hồ Chí Minh</v>
      </c>
      <c r="G28" t="str">
        <v>Nhân viên</v>
      </c>
      <c r="H28" s="1">
        <v>42697</v>
      </c>
      <c r="I28" s="2">
        <v>12800000</v>
      </c>
      <c r="J28" t="str">
        <v>0936472964</v>
      </c>
      <c r="K28" t="str">
        <v>tuan.ngo27@congty-mau.vn</v>
      </c>
    </row>
    <row r="29">
      <c r="A29" t="str">
        <v>NV028</v>
      </c>
      <c r="B29" t="str">
        <v>Trần Ngọc My</v>
      </c>
      <c r="C29" t="str">
        <v>Nữ</v>
      </c>
      <c r="D29" s="1">
        <v>32289</v>
      </c>
      <c r="E29" t="str">
        <v>Nhân sự</v>
      </c>
      <c r="F29" t="str">
        <v>Đà Nẵng</v>
      </c>
      <c r="G29" t="str">
        <v>Chuyên viên</v>
      </c>
      <c r="H29" s="1">
        <v>43506</v>
      </c>
      <c r="I29" s="2">
        <v>18800000</v>
      </c>
      <c r="J29" t="str">
        <v>0921779489</v>
      </c>
      <c r="K29" t="str">
        <v>my.tran28@congty-mau.vn</v>
      </c>
    </row>
    <row r="30">
      <c r="A30" t="str">
        <v>NV029</v>
      </c>
      <c r="B30" t="str">
        <v>Hoàng Mai Giang</v>
      </c>
      <c r="C30" t="str">
        <v>Nữ</v>
      </c>
      <c r="D30" s="1">
        <v>32367</v>
      </c>
      <c r="E30" t="str">
        <v>Kế toán</v>
      </c>
      <c r="F30" t="str">
        <v>Hà Nội</v>
      </c>
      <c r="G30" t="str">
        <v>Nhân viên</v>
      </c>
      <c r="H30" s="1">
        <v>44112</v>
      </c>
      <c r="I30" s="2">
        <v>12200000</v>
      </c>
      <c r="J30" t="str">
        <v>0971319556</v>
      </c>
      <c r="K30" t="str">
        <v>giang.hoang29@congty-mau.vn</v>
      </c>
    </row>
    <row r="31">
      <c r="A31" t="str">
        <v>NV030</v>
      </c>
      <c r="B31" t="str">
        <v>Đỗ Văn Việt</v>
      </c>
      <c r="C31" t="str">
        <v>Nam</v>
      </c>
      <c r="D31" s="1">
        <v>35085</v>
      </c>
      <c r="E31" t="str">
        <v>Kinh doanh</v>
      </c>
      <c r="F31" t="str">
        <v>Đà Nẵng</v>
      </c>
      <c r="G31" t="str">
        <v>Nhân viên</v>
      </c>
      <c r="H31" s="1">
        <v>43406</v>
      </c>
      <c r="I31" s="2">
        <v>11700000</v>
      </c>
      <c r="J31" t="str">
        <v>0975735524</v>
      </c>
      <c r="K31" t="str">
        <v>viet.do30@congty-mau.vn</v>
      </c>
    </row>
    <row r="32">
      <c r="A32" t="str">
        <v>NV031</v>
      </c>
      <c r="B32" t="str">
        <v>Huỳnh Ngọc Linh</v>
      </c>
      <c r="C32" t="str">
        <v>Nữ</v>
      </c>
      <c r="D32" s="1">
        <v>28917</v>
      </c>
      <c r="E32" t="str">
        <v>Nhân sự</v>
      </c>
      <c r="F32" t="str">
        <v>Hà Nội</v>
      </c>
      <c r="G32" t="str">
        <v>Chuyên viên</v>
      </c>
      <c r="H32" s="1">
        <v>45649</v>
      </c>
      <c r="I32" s="2">
        <v>16100000</v>
      </c>
      <c r="J32" t="str">
        <v>0999794840</v>
      </c>
      <c r="K32" t="str">
        <v>linh.huynh31@congty-mau.vn</v>
      </c>
    </row>
    <row r="33">
      <c r="A33" t="str">
        <v>NV032</v>
      </c>
      <c r="B33" t="str">
        <v>Hồ Thu Linh</v>
      </c>
      <c r="C33" t="str">
        <v>Nữ</v>
      </c>
      <c r="D33" s="1">
        <v>35655</v>
      </c>
      <c r="E33" t="str">
        <v>Kinh doanh</v>
      </c>
      <c r="F33" t="str">
        <v>TP. Hồ Chí Minh</v>
      </c>
      <c r="G33" t="str">
        <v>Trưởng nhóm</v>
      </c>
      <c r="H33" s="1">
        <v>44442</v>
      </c>
      <c r="I33" s="2">
        <v>19800000</v>
      </c>
      <c r="J33" t="str">
        <v>0901419404</v>
      </c>
      <c r="K33" t="str">
        <v>linh.ho32@congty-mau.vn</v>
      </c>
    </row>
    <row r="34">
      <c r="A34" t="str">
        <v>NV033</v>
      </c>
      <c r="B34" t="str">
        <v>Dương Thu Oanh</v>
      </c>
      <c r="C34" t="str">
        <v>Nữ</v>
      </c>
      <c r="D34" s="1">
        <v>31075</v>
      </c>
      <c r="E34" t="str">
        <v>Kinh doanh</v>
      </c>
      <c r="F34" t="str">
        <v>Hà Nội</v>
      </c>
      <c r="G34" t="str">
        <v>Nhân viên</v>
      </c>
      <c r="H34" s="1">
        <v>43949</v>
      </c>
      <c r="I34" s="2">
        <v>9800000</v>
      </c>
      <c r="J34" t="str">
        <v>0998951482</v>
      </c>
      <c r="K34" t="str">
        <v>oanh.duong33@congty-mau.vn</v>
      </c>
    </row>
    <row r="35">
      <c r="A35" t="str">
        <v>NV034</v>
      </c>
      <c r="B35" t="str">
        <v>Võ Minh Khoa</v>
      </c>
      <c r="C35" t="str">
        <v>Nam</v>
      </c>
      <c r="D35" s="1">
        <v>33171</v>
      </c>
      <c r="E35" t="str">
        <v>Marketing</v>
      </c>
      <c r="F35" t="str">
        <v>Đà Nẵng</v>
      </c>
      <c r="G35" t="str">
        <v>Trưởng nhóm</v>
      </c>
      <c r="H35" s="1">
        <v>43299</v>
      </c>
      <c r="I35" s="2">
        <v>25300000</v>
      </c>
      <c r="J35" t="str">
        <v>0972826147</v>
      </c>
      <c r="K35" t="str">
        <v>khoa.vo34@congty-mau.vn</v>
      </c>
    </row>
    <row r="36">
      <c r="A36" t="str">
        <v>NV035</v>
      </c>
      <c r="B36" t="str">
        <v>Vũ Bảo Giang</v>
      </c>
      <c r="C36" t="str">
        <v>Nữ</v>
      </c>
      <c r="D36" s="1">
        <v>31696</v>
      </c>
      <c r="E36" t="str">
        <v>Kế toán</v>
      </c>
      <c r="F36" t="str">
        <v>TP. Hồ Chí Minh</v>
      </c>
      <c r="G36" t="str">
        <v>Nhân viên</v>
      </c>
      <c r="H36" s="1">
        <v>45372</v>
      </c>
      <c r="I36" s="2">
        <v>9400000</v>
      </c>
      <c r="J36" t="str">
        <v>0965597069</v>
      </c>
      <c r="K36" t="str">
        <v>giang.vu35@congty-mau.vn</v>
      </c>
    </row>
    <row r="37">
      <c r="A37" t="str">
        <v>NV036</v>
      </c>
      <c r="B37" t="str">
        <v>Ngô Đức Quân</v>
      </c>
      <c r="C37" t="str">
        <v>Nam</v>
      </c>
      <c r="D37" s="1">
        <v>31169</v>
      </c>
      <c r="E37" t="str">
        <v>Kỹ thuật</v>
      </c>
      <c r="F37" t="str">
        <v>TP. Hồ Chí Minh</v>
      </c>
      <c r="G37" t="str">
        <v>Chuyên viên</v>
      </c>
      <c r="H37" s="1">
        <v>44061</v>
      </c>
      <c r="I37" s="2">
        <v>14900000</v>
      </c>
      <c r="J37" t="str">
        <v>0941532218</v>
      </c>
      <c r="K37" t="str">
        <v>quan.ngo36@congty-mau.vn</v>
      </c>
    </row>
    <row r="38">
      <c r="A38" t="str">
        <v>NV037</v>
      </c>
      <c r="B38" t="str">
        <v>Vũ Thu Thảo</v>
      </c>
      <c r="C38" t="str">
        <v>Nữ</v>
      </c>
      <c r="D38" s="1">
        <v>29635</v>
      </c>
      <c r="E38" t="str">
        <v>Marketing</v>
      </c>
      <c r="F38" t="str">
        <v>Đà Nẵng</v>
      </c>
      <c r="G38" t="str">
        <v>Chuyên viên</v>
      </c>
      <c r="H38" s="1">
        <v>44304</v>
      </c>
      <c r="I38" s="2">
        <v>15200000</v>
      </c>
      <c r="J38" t="str">
        <v>0922190380</v>
      </c>
      <c r="K38" t="str">
        <v>thao.vu37@congty-mau.vn</v>
      </c>
    </row>
    <row r="39">
      <c r="A39" t="str">
        <v>NV038</v>
      </c>
      <c r="B39" t="str">
        <v>Phạm Thanh Thảo</v>
      </c>
      <c r="C39" t="str">
        <v>Nữ</v>
      </c>
      <c r="D39" s="1">
        <v>31543</v>
      </c>
      <c r="E39" t="str">
        <v>Marketing</v>
      </c>
      <c r="F39" t="str">
        <v>Cần Thơ</v>
      </c>
      <c r="G39" t="str">
        <v>Nhân viên</v>
      </c>
      <c r="H39" s="1">
        <v>43195</v>
      </c>
      <c r="I39" s="2">
        <v>11400000</v>
      </c>
      <c r="J39" t="str">
        <v>0950526645</v>
      </c>
      <c r="K39" t="str">
        <v>thao.pham38@congty-mau.vn</v>
      </c>
    </row>
    <row r="40">
      <c r="A40" t="str">
        <v>NV039</v>
      </c>
      <c r="B40" t="str">
        <v>Phạm Hữu Tuấn</v>
      </c>
      <c r="C40" t="str">
        <v>Nam</v>
      </c>
      <c r="D40" s="1">
        <v>34772</v>
      </c>
      <c r="E40" t="str">
        <v>Kỹ thuật</v>
      </c>
      <c r="F40" t="str">
        <v>Hà Nội</v>
      </c>
      <c r="G40" t="str">
        <v>Nhân viên</v>
      </c>
      <c r="H40" s="1">
        <v>43806</v>
      </c>
      <c r="I40" s="2">
        <v>11400000</v>
      </c>
      <c r="J40" t="str">
        <v>0997290042</v>
      </c>
      <c r="K40" t="str">
        <v>tuan.pham39@congty-mau.vn</v>
      </c>
    </row>
    <row r="41">
      <c r="A41" t="str">
        <v>NV040</v>
      </c>
      <c r="B41" t="str">
        <v>Võ Văn Quân</v>
      </c>
      <c r="C41" t="str">
        <v>Nam</v>
      </c>
      <c r="D41" s="1">
        <v>29119</v>
      </c>
      <c r="E41" t="str">
        <v>Nhân sự</v>
      </c>
      <c r="F41" t="str">
        <v>Hà Nội</v>
      </c>
      <c r="G41" t="str">
        <v>Nhân viên</v>
      </c>
      <c r="H41" s="1">
        <v>42848</v>
      </c>
      <c r="I41" s="2">
        <v>11800000</v>
      </c>
      <c r="J41" t="str">
        <v>0992049121</v>
      </c>
      <c r="K41" t="str">
        <v>quan.vo40@congty-mau.vn</v>
      </c>
    </row>
  </sheetData>
  <ignoredErrors>
    <ignoredError numberStoredAsText="1" sqref="A1:K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12.83203125" customWidth="1"/>
    <col min="2" max="2" width="19.83203125" customWidth="1"/>
    <col min="3" max="3" width="14.83203125" customWidth="1"/>
    <col min="4" max="4" width="12.83203125" customWidth="1"/>
  </cols>
  <sheetData>
    <row r="1">
      <c r="A1" t="str">
        <v>Phòng ban</v>
      </c>
      <c r="B1" t="str">
        <v>Trưởng phòng</v>
      </c>
      <c r="C1" t="str">
        <v>Số nhân viên</v>
      </c>
      <c r="D1" t="str">
        <v>Tổng lương</v>
      </c>
    </row>
    <row r="2">
      <c r="A2" t="str">
        <v>Kế toán</v>
      </c>
      <c r="B2" t="str">
        <v>Ngô Văn Hùng</v>
      </c>
      <c r="C2">
        <f>COUNTIF('Nhân viên'!E:E,A2)</f>
        <v>7</v>
      </c>
      <c r="D2" s="2">
        <f>SUMIF('Nhân viên'!E:E,A2,'Nhân viên'!I:I)</f>
        <v>108800000</v>
      </c>
    </row>
    <row r="3">
      <c r="A3" t="str">
        <v>Kinh doanh</v>
      </c>
      <c r="B3" t="str">
        <v>Hoàng Thị Anh</v>
      </c>
      <c r="C3">
        <f>COUNTIF('Nhân viên'!E:E,A3)</f>
        <v>9</v>
      </c>
      <c r="D3" s="2">
        <f>SUMIF('Nhân viên'!E:E,A3,'Nhân viên'!I:I)</f>
        <v>156200000</v>
      </c>
    </row>
    <row r="4">
      <c r="A4" t="str">
        <v>Kỹ thuật</v>
      </c>
      <c r="B4" t="str">
        <v>Hoàng Thành Cường</v>
      </c>
      <c r="C4">
        <f>COUNTIF('Nhân viên'!E:E,A4)</f>
        <v>7</v>
      </c>
      <c r="D4" s="2">
        <f>SUMIF('Nhân viên'!E:E,A4,'Nhân viên'!I:I)</f>
        <v>125500000</v>
      </c>
    </row>
    <row r="5">
      <c r="A5" t="str">
        <v>Nhân sự</v>
      </c>
      <c r="B5" t="str">
        <v>Đỗ Ngọc Châu</v>
      </c>
      <c r="C5">
        <f>COUNTIF('Nhân viên'!E:E,A5)</f>
        <v>8</v>
      </c>
      <c r="D5" s="2">
        <f>SUMIF('Nhân viên'!E:E,A5,'Nhân viên'!I:I)</f>
        <v>136100000</v>
      </c>
    </row>
    <row r="6">
      <c r="A6" t="str">
        <v>Marketing</v>
      </c>
      <c r="B6" t="str">
        <v>Hồ Mai Trang</v>
      </c>
      <c r="C6">
        <f>COUNTIF('Nhân viên'!E:E,A6)</f>
        <v>9</v>
      </c>
      <c r="D6" s="2">
        <f>SUMIF('Nhân viên'!E:E,A6,'Nhân viên'!I:I)</f>
        <v>152900000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Nhân viên</vt:lpstr>
      <vt:lpstr>Phòng ban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